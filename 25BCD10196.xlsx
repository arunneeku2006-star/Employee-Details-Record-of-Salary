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arun\OneDrive\Desktop\Arun Excel Project\"/>
    </mc:Choice>
  </mc:AlternateContent>
  <xr:revisionPtr revIDLastSave="0" documentId="8_{D1C810A8-5166-44F9-8C84-7D1448896C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_Table" sheetId="1" r:id="rId1"/>
    <sheet name="ds_salarie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" l="1"/>
  <c r="G2" i="2"/>
  <c r="G8" i="2"/>
  <c r="G14" i="2"/>
  <c r="G13" i="2"/>
  <c r="G12" i="2"/>
  <c r="G11" i="2"/>
  <c r="G10" i="2"/>
  <c r="G9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<sst xmlns="http://schemas.openxmlformats.org/spreadsheetml/2006/main" count="135" uniqueCount="83">
  <si>
    <t>job_title</t>
  </si>
  <si>
    <t>(Multiple Items)</t>
  </si>
  <si>
    <t>salary_in_usd</t>
  </si>
  <si>
    <t>(All)</t>
  </si>
  <si>
    <t>Row Labels</t>
  </si>
  <si>
    <t>Sum of salary</t>
  </si>
  <si>
    <t>Sum of salary_in_usd</t>
  </si>
  <si>
    <t>Amani Halder</t>
  </si>
  <si>
    <t>USD</t>
  </si>
  <si>
    <t>EMP0004</t>
  </si>
  <si>
    <t>Anahita Gill</t>
  </si>
  <si>
    <t>EMP0028</t>
  </si>
  <si>
    <t>Badal D’Alia</t>
  </si>
  <si>
    <t>CNY</t>
  </si>
  <si>
    <t>EMP0020</t>
  </si>
  <si>
    <t>Chirag Sodhi</t>
  </si>
  <si>
    <t>INR</t>
  </si>
  <si>
    <t>EMP0021</t>
  </si>
  <si>
    <t>Darshit Chopra</t>
  </si>
  <si>
    <t>EMP0013</t>
  </si>
  <si>
    <t>Divij Chaudhuri</t>
  </si>
  <si>
    <t>EMP0001</t>
  </si>
  <si>
    <t>Eva Sarin</t>
  </si>
  <si>
    <t>EMP0003</t>
  </si>
  <si>
    <t>Himmat Sura</t>
  </si>
  <si>
    <t>EMP0006</t>
  </si>
  <si>
    <t>Hridaan Shetty</t>
  </si>
  <si>
    <t>CAD</t>
  </si>
  <si>
    <t>EMP0029</t>
  </si>
  <si>
    <t>Miraan Sodhi</t>
  </si>
  <si>
    <t>EMP0026</t>
  </si>
  <si>
    <t>Neysa Dora</t>
  </si>
  <si>
    <t>GBP</t>
  </si>
  <si>
    <t>EMP0002</t>
  </si>
  <si>
    <t>Seher Mane</t>
  </si>
  <si>
    <t>EMP0025</t>
  </si>
  <si>
    <t>Siya Sridhar</t>
  </si>
  <si>
    <t>EMP0008</t>
  </si>
  <si>
    <t>Sumer Buch</t>
  </si>
  <si>
    <t>EMP0023</t>
  </si>
  <si>
    <t>Umang Bumb</t>
  </si>
  <si>
    <t>EMP0019</t>
  </si>
  <si>
    <t>Umang Grover</t>
  </si>
  <si>
    <t>EMP0009</t>
  </si>
  <si>
    <t>Vaibhav Biswas</t>
  </si>
  <si>
    <t>EMP0024</t>
  </si>
  <si>
    <t>Vaibhav Gupta</t>
  </si>
  <si>
    <t>EUR</t>
  </si>
  <si>
    <t>EMP0017</t>
  </si>
  <si>
    <t>Grand Total</t>
  </si>
  <si>
    <t>employee_id</t>
  </si>
  <si>
    <t>full_name</t>
  </si>
  <si>
    <t>employee_residence</t>
  </si>
  <si>
    <t>salary</t>
  </si>
  <si>
    <t>salary_currency</t>
  </si>
  <si>
    <t>JP</t>
  </si>
  <si>
    <t>Machine Learning Scientist</t>
  </si>
  <si>
    <t>GB</t>
  </si>
  <si>
    <t>Big Data Engineer</t>
  </si>
  <si>
    <t>HN</t>
  </si>
  <si>
    <t>Product Data Analyst</t>
  </si>
  <si>
    <t>US</t>
  </si>
  <si>
    <t>Machine Learning Engineer</t>
  </si>
  <si>
    <t>EMP0005</t>
  </si>
  <si>
    <t>Dhruv Sen</t>
  </si>
  <si>
    <t>Data Analyst</t>
  </si>
  <si>
    <t>Lead Data Scientist</t>
  </si>
  <si>
    <t>EMP0007</t>
  </si>
  <si>
    <t>Tejas Gopal</t>
  </si>
  <si>
    <t>HU</t>
  </si>
  <si>
    <t>Data Scientist</t>
  </si>
  <si>
    <t>Business Data Analyst</t>
  </si>
  <si>
    <t>NZ</t>
  </si>
  <si>
    <t>Lead Data Engineer</t>
  </si>
  <si>
    <t>EMP0010</t>
  </si>
  <si>
    <t>Lakshit Wable</t>
  </si>
  <si>
    <t>FR</t>
  </si>
  <si>
    <t>EMP0011</t>
  </si>
  <si>
    <t>Shamik Bawa</t>
  </si>
  <si>
    <t>IN</t>
  </si>
  <si>
    <t>EMP0012</t>
  </si>
  <si>
    <t>Romil Dhingra</t>
  </si>
  <si>
    <t>Lead 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</si>
</sst>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164" fontId="3" fillId="0" borderId="1" xfId="1" applyNumberFormat="1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/>
    <xf numFmtId="0" fontId="0" fillId="0" borderId="1" xfId="0" applyBorder="1"/>
  </cellXfs>
  <cellStyles count="2">
    <cellStyle name="Currency" xfId="1" builtinId="4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16"/>
        <color theme="1"/>
        <name val="Calibri"/>
        <family val="2"/>
        <scheme val="minor"/>
      </font>
      <numFmt numFmtId="164" formatCode="_-[$$-409]* #,##0_ ;_-[$$-409]* \-#,##0\ ;_-[$$-409]* &quot;-&quot;??_ ;_-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6"/>
        <color theme="1"/>
        <name val="Calibri"/>
        <family val="2"/>
        <scheme val="minor"/>
      </font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font>
        <strike val="0"/>
        <outline val="0"/>
        <shadow val="0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20"/>
        <color theme="1"/>
        <name val="Calibri"/>
        <family val="2"/>
        <scheme val="minor"/>
      </font>
      <alignment horizontal="center" vertical="top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89871828582671"/>
          <c:y val="9.6793293292734853E-2"/>
          <c:w val="0.8274114065715269"/>
          <c:h val="0.7152375564895634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ds_salaries!$E$2:$E$15</c:f>
              <c:numCache>
                <c:formatCode>General</c:formatCode>
                <c:ptCount val="14"/>
                <c:pt idx="0">
                  <c:v>260000</c:v>
                </c:pt>
                <c:pt idx="1">
                  <c:v>85000</c:v>
                </c:pt>
                <c:pt idx="2">
                  <c:v>20000</c:v>
                </c:pt>
                <c:pt idx="3">
                  <c:v>150000</c:v>
                </c:pt>
                <c:pt idx="4">
                  <c:v>72000</c:v>
                </c:pt>
                <c:pt idx="5">
                  <c:v>190000</c:v>
                </c:pt>
                <c:pt idx="6">
                  <c:v>110000</c:v>
                </c:pt>
                <c:pt idx="7">
                  <c:v>135000</c:v>
                </c:pt>
                <c:pt idx="8">
                  <c:v>125000</c:v>
                </c:pt>
                <c:pt idx="9">
                  <c:v>45000</c:v>
                </c:pt>
                <c:pt idx="10">
                  <c:v>3000000</c:v>
                </c:pt>
                <c:pt idx="11">
                  <c:v>35000</c:v>
                </c:pt>
                <c:pt idx="12">
                  <c:v>87000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7-4352-95FE-16EC0C970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864143"/>
        <c:axId val="1481863663"/>
      </c:lineChart>
      <c:catAx>
        <c:axId val="14818641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863663"/>
        <c:crosses val="autoZero"/>
        <c:auto val="1"/>
        <c:lblAlgn val="ctr"/>
        <c:lblOffset val="100"/>
        <c:noMultiLvlLbl val="0"/>
      </c:catAx>
      <c:valAx>
        <c:axId val="14818636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86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589026816826341"/>
          <c:y val="0.11741599750281249"/>
          <c:w val="0.72133894375621954"/>
          <c:h val="0.57136081551400497"/>
        </c:manualLayout>
      </c:layout>
      <c:pie3DChart>
        <c:varyColors val="1"/>
        <c:ser>
          <c:idx val="0"/>
          <c:order val="0"/>
          <c:tx>
            <c:strRef>
              <c:f>ds_salaries!$G$1</c:f>
              <c:strCache>
                <c:ptCount val="1"/>
                <c:pt idx="0">
                  <c:v> salary_in_usd 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1-08ED-41A6-B2FC-F46E7C3176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3-08ED-41A6-B2FC-F46E7C3176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5-08ED-41A6-B2FC-F46E7C3176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7-08ED-41A6-B2FC-F46E7C3176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9-08ED-41A6-B2FC-F46E7C3176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B-08ED-41A6-B2FC-F46E7C3176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D-08ED-41A6-B2FC-F46E7C3176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0F-08ED-41A6-B2FC-F46E7C3176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1-08ED-41A6-B2FC-F46E7C3176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3-08ED-41A6-B2FC-F46E7C31765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5-08ED-41A6-B2FC-F46E7C31765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7-08ED-41A6-B2FC-F46E7C31765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  <a:prstDash val="solid"/>
              </a:ln>
              <a:sp3d prstMaterial="matte"/>
            </c:spPr>
            <c:extLst>
              <c:ext xmlns:c16="http://schemas.microsoft.com/office/drawing/2014/chart" uri="{C3380CC4-5D6E-409C-BE32-E72D297353CC}">
                <c16:uniqueId val="{00000019-08ED-41A6-B2FC-F46E7C31765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ds_salaries!$A$2:$F$14</c:f>
              <c:multiLvlStrCache>
                <c:ptCount val="13"/>
                <c:lvl>
                  <c:pt idx="0">
                    <c:v>USD</c:v>
                  </c:pt>
                  <c:pt idx="1">
                    <c:v>GBP</c:v>
                  </c:pt>
                  <c:pt idx="2">
                    <c:v>USD</c:v>
                  </c:pt>
                  <c:pt idx="3">
                    <c:v>USD</c:v>
                  </c:pt>
                  <c:pt idx="4">
                    <c:v>USD</c:v>
                  </c:pt>
                  <c:pt idx="5">
                    <c:v>USD</c:v>
                  </c:pt>
                  <c:pt idx="6">
                    <c:v>USD</c:v>
                  </c:pt>
                  <c:pt idx="7">
                    <c:v>USD</c:v>
                  </c:pt>
                  <c:pt idx="8">
                    <c:v>USD</c:v>
                  </c:pt>
                  <c:pt idx="9">
                    <c:v>EUR</c:v>
                  </c:pt>
                  <c:pt idx="10">
                    <c:v>INR</c:v>
                  </c:pt>
                  <c:pt idx="11">
                    <c:v>EUR</c:v>
                  </c:pt>
                  <c:pt idx="12">
                    <c:v>USD</c:v>
                  </c:pt>
                </c:lvl>
                <c:lvl>
                  <c:pt idx="0">
                    <c:v>260000</c:v>
                  </c:pt>
                  <c:pt idx="1">
                    <c:v>85000</c:v>
                  </c:pt>
                  <c:pt idx="2">
                    <c:v>20000</c:v>
                  </c:pt>
                  <c:pt idx="3">
                    <c:v>150000</c:v>
                  </c:pt>
                  <c:pt idx="4">
                    <c:v>72000</c:v>
                  </c:pt>
                  <c:pt idx="5">
                    <c:v>190000</c:v>
                  </c:pt>
                  <c:pt idx="6">
                    <c:v>110000</c:v>
                  </c:pt>
                  <c:pt idx="7">
                    <c:v>135000</c:v>
                  </c:pt>
                  <c:pt idx="8">
                    <c:v>125000</c:v>
                  </c:pt>
                  <c:pt idx="9">
                    <c:v>45000</c:v>
                  </c:pt>
                  <c:pt idx="10">
                    <c:v>3000000</c:v>
                  </c:pt>
                  <c:pt idx="11">
                    <c:v>35000</c:v>
                  </c:pt>
                  <c:pt idx="12">
                    <c:v>87000</c:v>
                  </c:pt>
                </c:lvl>
                <c:lvl>
                  <c:pt idx="0">
                    <c:v>Machine Learning Scientist</c:v>
                  </c:pt>
                  <c:pt idx="1">
                    <c:v>Big Data Engineer</c:v>
                  </c:pt>
                  <c:pt idx="2">
                    <c:v>Product Data Analyst</c:v>
                  </c:pt>
                  <c:pt idx="3">
                    <c:v>Machine Learning Engineer</c:v>
                  </c:pt>
                  <c:pt idx="4">
                    <c:v>Data Analyst</c:v>
                  </c:pt>
                  <c:pt idx="5">
                    <c:v>Lead Data Scientist</c:v>
                  </c:pt>
                  <c:pt idx="6">
                    <c:v>Data Scientist</c:v>
                  </c:pt>
                  <c:pt idx="7">
                    <c:v>Business Data Analyst</c:v>
                  </c:pt>
                  <c:pt idx="8">
                    <c:v>Lead Data Engineer</c:v>
                  </c:pt>
                  <c:pt idx="9">
                    <c:v>Data Scientist</c:v>
                  </c:pt>
                  <c:pt idx="10">
                    <c:v>Data Scientist</c:v>
                  </c:pt>
                  <c:pt idx="11">
                    <c:v>Data Scientist</c:v>
                  </c:pt>
                  <c:pt idx="12">
                    <c:v>Lead Data Analyst</c:v>
                  </c:pt>
                </c:lvl>
                <c:lvl>
                  <c:pt idx="0">
                    <c:v>JP</c:v>
                  </c:pt>
                  <c:pt idx="1">
                    <c:v>GB</c:v>
                  </c:pt>
                  <c:pt idx="2">
                    <c:v>HN</c:v>
                  </c:pt>
                  <c:pt idx="3">
                    <c:v>US</c:v>
                  </c:pt>
                  <c:pt idx="4">
                    <c:v>US</c:v>
                  </c:pt>
                  <c:pt idx="5">
                    <c:v>US</c:v>
                  </c:pt>
                  <c:pt idx="6">
                    <c:v>HU</c:v>
                  </c:pt>
                  <c:pt idx="7">
                    <c:v>US</c:v>
                  </c:pt>
                  <c:pt idx="8">
                    <c:v>NZ</c:v>
                  </c:pt>
                  <c:pt idx="9">
                    <c:v>FR</c:v>
                  </c:pt>
                  <c:pt idx="10">
                    <c:v>IN</c:v>
                  </c:pt>
                  <c:pt idx="11">
                    <c:v>FR</c:v>
                  </c:pt>
                  <c:pt idx="12">
                    <c:v>US</c:v>
                  </c:pt>
                </c:lvl>
                <c:lvl>
                  <c:pt idx="0">
                    <c:v>Divij Chaudhuri</c:v>
                  </c:pt>
                  <c:pt idx="1">
                    <c:v>Neysa Dora</c:v>
                  </c:pt>
                  <c:pt idx="2">
                    <c:v>Eva Sarin</c:v>
                  </c:pt>
                  <c:pt idx="3">
                    <c:v>Amani Halder</c:v>
                  </c:pt>
                  <c:pt idx="4">
                    <c:v>Dhruv Sen</c:v>
                  </c:pt>
                  <c:pt idx="5">
                    <c:v>Himmat Sura</c:v>
                  </c:pt>
                  <c:pt idx="6">
                    <c:v>Tejas Gopal</c:v>
                  </c:pt>
                  <c:pt idx="7">
                    <c:v>Siya Sridhar</c:v>
                  </c:pt>
                  <c:pt idx="8">
                    <c:v>Umang Grover</c:v>
                  </c:pt>
                  <c:pt idx="9">
                    <c:v>Lakshit Wable</c:v>
                  </c:pt>
                  <c:pt idx="10">
                    <c:v>Shamik Bawa</c:v>
                  </c:pt>
                  <c:pt idx="11">
                    <c:v>Romil Dhingra</c:v>
                  </c:pt>
                  <c:pt idx="12">
                    <c:v>Darshit Chopra</c:v>
                  </c:pt>
                </c:lvl>
                <c:lvl>
                  <c:pt idx="0">
                    <c:v>EMP0001</c:v>
                  </c:pt>
                  <c:pt idx="1">
                    <c:v>EMP0002</c:v>
                  </c:pt>
                  <c:pt idx="2">
                    <c:v>EMP0003</c:v>
                  </c:pt>
                  <c:pt idx="3">
                    <c:v>EMP0004</c:v>
                  </c:pt>
                  <c:pt idx="4">
                    <c:v>EMP0005</c:v>
                  </c:pt>
                  <c:pt idx="5">
                    <c:v>EMP0006</c:v>
                  </c:pt>
                  <c:pt idx="6">
                    <c:v>EMP0007</c:v>
                  </c:pt>
                  <c:pt idx="7">
                    <c:v>EMP0008</c:v>
                  </c:pt>
                  <c:pt idx="8">
                    <c:v>EMP0009</c:v>
                  </c:pt>
                  <c:pt idx="9">
                    <c:v>EMP0010</c:v>
                  </c:pt>
                  <c:pt idx="10">
                    <c:v>EMP0011</c:v>
                  </c:pt>
                  <c:pt idx="11">
                    <c:v>EMP0012</c:v>
                  </c:pt>
                  <c:pt idx="12">
                    <c:v>EMP0013</c:v>
                  </c:pt>
                </c:lvl>
              </c:multiLvlStrCache>
            </c:multiLvlStrRef>
          </c:cat>
          <c:val>
            <c:numRef>
              <c:f>ds_salaries!$G$2:$G$14</c:f>
              <c:numCache>
                <c:formatCode>_-[$$-409]* #,##0_ ;_-[$$-409]* \-#,##0\ ;_-[$$-409]* "-"??_ ;_-@_ </c:formatCode>
                <c:ptCount val="13"/>
                <c:pt idx="0">
                  <c:v>260000</c:v>
                </c:pt>
                <c:pt idx="1">
                  <c:v>108800</c:v>
                </c:pt>
                <c:pt idx="2">
                  <c:v>20000</c:v>
                </c:pt>
                <c:pt idx="3">
                  <c:v>150000</c:v>
                </c:pt>
                <c:pt idx="4">
                  <c:v>72000</c:v>
                </c:pt>
                <c:pt idx="5">
                  <c:v>190000</c:v>
                </c:pt>
                <c:pt idx="6">
                  <c:v>110000</c:v>
                </c:pt>
                <c:pt idx="7">
                  <c:v>135000</c:v>
                </c:pt>
                <c:pt idx="8">
                  <c:v>125000</c:v>
                </c:pt>
                <c:pt idx="9">
                  <c:v>49500.000000000007</c:v>
                </c:pt>
                <c:pt idx="10">
                  <c:v>36144.578313253012</c:v>
                </c:pt>
                <c:pt idx="11">
                  <c:v>38500</c:v>
                </c:pt>
                <c:pt idx="12">
                  <c:v>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8ED-41A6-B2FC-F46E7C31765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0.1937275431777504"/>
          <c:y val="0.67843140979724648"/>
          <c:w val="0.63733533987504354"/>
          <c:h val="0.32156859020275358"/>
        </c:manualLayout>
      </c:layout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272260</xdr:colOff>
      <xdr:row>0</xdr:row>
      <xdr:rowOff>87785</xdr:rowOff>
    </xdr:from>
    <xdr:to>
      <xdr:col>14</xdr:col>
      <xdr:colOff>594072</xdr:colOff>
      <xdr:row>43</xdr:row>
      <xdr:rowOff>113259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749325</xdr:colOff>
      <xdr:row>16</xdr:row>
      <xdr:rowOff>128634</xdr:rowOff>
    </xdr:from>
    <xdr:to>
      <xdr:col>6</xdr:col>
      <xdr:colOff>1304192</xdr:colOff>
      <xdr:row>46</xdr:row>
      <xdr:rowOff>14652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0.41125</cdr:x>
      <cdr:y>0.01549</cdr:y>
    </cdr:from>
    <cdr:to>
      <cdr:x>0.72429</cdr:x>
      <cdr:y>0.0837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3F4B66-14C8-BE3D-505F-DABCA0440B4A}"/>
            </a:ext>
          </a:extLst>
        </cdr:cNvPr>
        <cdr:cNvSpPr txBox="1"/>
      </cdr:nvSpPr>
      <cdr:spPr>
        <a:xfrm xmlns:a="http://schemas.openxmlformats.org/drawingml/2006/main">
          <a:off x="4716560" y="76519"/>
          <a:ext cx="3590193" cy="3370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000" kern="1200">
              <a:latin typeface="Times New Roman" panose="02020603050405020304" pitchFamily="18" charset="0"/>
              <a:cs typeface="Times New Roman" panose="02020603050405020304" pitchFamily="18" charset="0"/>
            </a:rPr>
            <a:t>Salary</a:t>
          </a:r>
          <a:r>
            <a:rPr lang="en-US" sz="20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of employee in usd</a:t>
          </a:r>
          <a:endParaRPr lang="en-US" sz="20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un Saini" refreshedDate="45962.419523611112" createdVersion="8" refreshedVersion="8" minRefreshableVersion="3" recordCount="29" xr:uid="{00000000-000A-0000-FFFF-FFFF24000000}">
  <cacheSource type="worksheet">
    <worksheetSource ref="A1:G14" sheet="ds_salaries"/>
  </cacheSource>
  <cacheFields count="7">
    <cacheField name="employee_id" numFmtId="0">
      <sharedItems count="29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</sharedItems>
    </cacheField>
    <cacheField name="full_name" numFmtId="0">
      <sharedItems count="29">
        <s v="Divij Chaudhuri"/>
        <s v="Neysa Dora"/>
        <s v="Eva Sarin"/>
        <s v="Amani Halder"/>
        <s v="Dhruv Sen"/>
        <s v="Himmat Sura"/>
        <s v="Tejas Gopal"/>
        <s v="Siya Sridhar"/>
        <s v="Umang Grover"/>
        <s v="Lakshit Wable"/>
        <s v="Shamik Bawa"/>
        <s v="Romil Dhingra"/>
        <s v="Darshit Chopra"/>
        <s v="Ojas Keer"/>
        <s v="Amani Buch"/>
        <s v="Zara Kuruvilla"/>
        <s v="Vaibhav Gupta"/>
        <s v="Drishya Roy"/>
        <s v="Umang Bumb"/>
        <s v="Badal D’Alia"/>
        <s v="Chirag Sodhi"/>
        <s v="Saira Sandhu"/>
        <s v="Sumer Buch"/>
        <s v="Vaibhav Biswas"/>
        <s v="Seher Mane"/>
        <s v="Miraan Sodhi"/>
        <s v="Shayak Vasa"/>
        <s v="Anahita Gill"/>
        <s v="Hridaan Shetty"/>
      </sharedItems>
    </cacheField>
    <cacheField name="employee_residence" numFmtId="0">
      <sharedItems count="17">
        <s v="JP"/>
        <s v="GB"/>
        <s v="HN"/>
        <s v="US"/>
        <s v="HU"/>
        <s v="NZ"/>
        <s v="FR"/>
        <s v="IN"/>
        <s v="PK"/>
        <s v="PL"/>
        <s v="PT"/>
        <s v="CN"/>
        <s v="GR"/>
        <s v="AE"/>
        <s v="NL"/>
        <s v="MX"/>
        <s v="CA"/>
      </sharedItems>
    </cacheField>
    <cacheField name="job_title" numFmtId="0">
      <sharedItems count="16">
        <s v="Machine Learning Scientist"/>
        <s v="Big Data Engineer"/>
        <s v="Product Data Analyst"/>
        <s v="Machine Learning Engineer"/>
        <s v="Data Analyst"/>
        <s v="Lead Data Scientist"/>
        <s v="Data Scientist"/>
        <s v="Business Data Analyst"/>
        <s v="Lead Data Engineer"/>
        <s v="Lead Data Analyst"/>
        <s v="Data Engineer"/>
        <s v="Data Science Consultant"/>
        <s v="BI Data Analyst"/>
        <s v="Director of Data Science"/>
        <s v="Research Scientist"/>
        <s v="Machine Learning Manager"/>
      </sharedItems>
    </cacheField>
    <cacheField name="salary" numFmtId="0">
      <sharedItems containsSemiMixedTypes="0" containsString="0" containsNumber="1" containsInteger="1" minValue="8000" maxValue="11000000" count="26">
        <n v="260000"/>
        <n v="85000"/>
        <n v="20000"/>
        <n v="150000"/>
        <n v="72000"/>
        <n v="190000"/>
        <n v="11000000"/>
        <n v="135000"/>
        <n v="125000"/>
        <n v="45000"/>
        <n v="3000000"/>
        <n v="35000"/>
        <n v="87000"/>
        <n v="8000"/>
        <n v="4450000"/>
        <n v="100000"/>
        <n v="423000"/>
        <n v="56000"/>
        <n v="299000"/>
        <n v="450000"/>
        <n v="42000"/>
        <n v="98000"/>
        <n v="115000"/>
        <n v="325000"/>
        <n v="720000"/>
        <n v="157000"/>
      </sharedItems>
    </cacheField>
    <cacheField name="salary_currency" numFmtId="0">
      <sharedItems count="9">
        <s v="USD"/>
        <s v="GBP"/>
        <s v="HUF"/>
        <s v="EUR"/>
        <s v="INR"/>
        <s v="JPY"/>
        <s v="CNY"/>
        <s v="MXN"/>
        <s v="CAD"/>
      </sharedItems>
    </cacheField>
    <cacheField name="salary_in_usd" numFmtId="164">
      <sharedItems containsSemiMixedTypes="0" containsString="0" containsNumber="1" containsInteger="1" minValue="5707" maxValue="325000" count="29">
        <n v="260000"/>
        <n v="109024"/>
        <n v="20000"/>
        <n v="150000"/>
        <n v="72000"/>
        <n v="190000"/>
        <n v="35735"/>
        <n v="135000"/>
        <n v="125000"/>
        <n v="51321"/>
        <n v="40481"/>
        <n v="39916"/>
        <n v="87000"/>
        <n v="85000"/>
        <n v="8000"/>
        <n v="41689"/>
        <n v="114047"/>
        <n v="5707"/>
        <n v="56000"/>
        <n v="43331"/>
        <n v="6072"/>
        <n v="47899"/>
        <n v="98000"/>
        <n v="115000"/>
        <n v="325000"/>
        <n v="42000"/>
        <n v="33511"/>
        <n v="100000"/>
        <n v="1171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9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0"/>
    <x v="2"/>
  </r>
  <r>
    <x v="3"/>
    <x v="3"/>
    <x v="3"/>
    <x v="3"/>
    <x v="3"/>
    <x v="0"/>
    <x v="3"/>
  </r>
  <r>
    <x v="4"/>
    <x v="4"/>
    <x v="3"/>
    <x v="4"/>
    <x v="4"/>
    <x v="0"/>
    <x v="4"/>
  </r>
  <r>
    <x v="5"/>
    <x v="5"/>
    <x v="3"/>
    <x v="5"/>
    <x v="5"/>
    <x v="0"/>
    <x v="5"/>
  </r>
  <r>
    <x v="6"/>
    <x v="6"/>
    <x v="4"/>
    <x v="6"/>
    <x v="6"/>
    <x v="2"/>
    <x v="6"/>
  </r>
  <r>
    <x v="7"/>
    <x v="7"/>
    <x v="3"/>
    <x v="7"/>
    <x v="7"/>
    <x v="0"/>
    <x v="7"/>
  </r>
  <r>
    <x v="8"/>
    <x v="8"/>
    <x v="5"/>
    <x v="8"/>
    <x v="8"/>
    <x v="0"/>
    <x v="8"/>
  </r>
  <r>
    <x v="9"/>
    <x v="9"/>
    <x v="6"/>
    <x v="6"/>
    <x v="9"/>
    <x v="3"/>
    <x v="9"/>
  </r>
  <r>
    <x v="10"/>
    <x v="10"/>
    <x v="7"/>
    <x v="6"/>
    <x v="10"/>
    <x v="4"/>
    <x v="10"/>
  </r>
  <r>
    <x v="11"/>
    <x v="11"/>
    <x v="6"/>
    <x v="6"/>
    <x v="11"/>
    <x v="3"/>
    <x v="11"/>
  </r>
  <r>
    <x v="12"/>
    <x v="12"/>
    <x v="3"/>
    <x v="9"/>
    <x v="12"/>
    <x v="0"/>
    <x v="12"/>
  </r>
  <r>
    <x v="13"/>
    <x v="13"/>
    <x v="3"/>
    <x v="4"/>
    <x v="1"/>
    <x v="0"/>
    <x v="13"/>
  </r>
  <r>
    <x v="14"/>
    <x v="14"/>
    <x v="8"/>
    <x v="4"/>
    <x v="13"/>
    <x v="0"/>
    <x v="14"/>
  </r>
  <r>
    <x v="15"/>
    <x v="15"/>
    <x v="0"/>
    <x v="10"/>
    <x v="14"/>
    <x v="5"/>
    <x v="15"/>
  </r>
  <r>
    <x v="16"/>
    <x v="16"/>
    <x v="9"/>
    <x v="1"/>
    <x v="15"/>
    <x v="3"/>
    <x v="16"/>
  </r>
  <r>
    <x v="17"/>
    <x v="17"/>
    <x v="7"/>
    <x v="11"/>
    <x v="16"/>
    <x v="4"/>
    <x v="17"/>
  </r>
  <r>
    <x v="18"/>
    <x v="18"/>
    <x v="10"/>
    <x v="8"/>
    <x v="17"/>
    <x v="0"/>
    <x v="18"/>
  </r>
  <r>
    <x v="19"/>
    <x v="19"/>
    <x v="11"/>
    <x v="3"/>
    <x v="18"/>
    <x v="6"/>
    <x v="19"/>
  </r>
  <r>
    <x v="20"/>
    <x v="20"/>
    <x v="7"/>
    <x v="2"/>
    <x v="19"/>
    <x v="4"/>
    <x v="20"/>
  </r>
  <r>
    <x v="21"/>
    <x v="21"/>
    <x v="12"/>
    <x v="10"/>
    <x v="20"/>
    <x v="3"/>
    <x v="21"/>
  </r>
  <r>
    <x v="22"/>
    <x v="22"/>
    <x v="3"/>
    <x v="12"/>
    <x v="21"/>
    <x v="0"/>
    <x v="22"/>
  </r>
  <r>
    <x v="23"/>
    <x v="23"/>
    <x v="13"/>
    <x v="5"/>
    <x v="22"/>
    <x v="0"/>
    <x v="23"/>
  </r>
  <r>
    <x v="24"/>
    <x v="24"/>
    <x v="3"/>
    <x v="13"/>
    <x v="23"/>
    <x v="0"/>
    <x v="24"/>
  </r>
  <r>
    <x v="25"/>
    <x v="25"/>
    <x v="14"/>
    <x v="14"/>
    <x v="20"/>
    <x v="0"/>
    <x v="25"/>
  </r>
  <r>
    <x v="26"/>
    <x v="26"/>
    <x v="15"/>
    <x v="10"/>
    <x v="24"/>
    <x v="7"/>
    <x v="26"/>
  </r>
  <r>
    <x v="27"/>
    <x v="27"/>
    <x v="3"/>
    <x v="7"/>
    <x v="15"/>
    <x v="0"/>
    <x v="27"/>
  </r>
  <r>
    <x v="28"/>
    <x v="28"/>
    <x v="16"/>
    <x v="15"/>
    <x v="25"/>
    <x v="8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59" firstHeaderRow="0" firstDataRow="1" firstDataCol="1" rowPageCount="2" colPageCount="1"/>
  <pivotFields count="7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>
      <items count="30">
        <item x="14"/>
        <item x="3"/>
        <item x="27"/>
        <item x="19"/>
        <item x="20"/>
        <item x="12"/>
        <item x="4"/>
        <item x="0"/>
        <item x="17"/>
        <item x="2"/>
        <item x="5"/>
        <item x="28"/>
        <item x="9"/>
        <item x="25"/>
        <item x="1"/>
        <item x="13"/>
        <item x="11"/>
        <item x="21"/>
        <item x="24"/>
        <item x="10"/>
        <item x="26"/>
        <item x="7"/>
        <item x="22"/>
        <item x="6"/>
        <item x="18"/>
        <item x="8"/>
        <item x="23"/>
        <item x="16"/>
        <item x="15"/>
        <item t="default"/>
      </items>
    </pivotField>
    <pivotField showAll="0">
      <items count="18">
        <item x="13"/>
        <item x="16"/>
        <item x="11"/>
        <item x="6"/>
        <item x="1"/>
        <item x="12"/>
        <item x="2"/>
        <item x="4"/>
        <item x="7"/>
        <item x="0"/>
        <item x="15"/>
        <item x="14"/>
        <item x="5"/>
        <item x="8"/>
        <item x="9"/>
        <item x="10"/>
        <item x="3"/>
        <item t="default"/>
      </items>
    </pivotField>
    <pivotField axis="axisPage" multipleItemSelectionAllowed="1" showAll="0">
      <items count="17">
        <item x="12"/>
        <item x="1"/>
        <item x="7"/>
        <item h="1" x="4"/>
        <item h="1" x="10"/>
        <item h="1" x="11"/>
        <item h="1" x="6"/>
        <item x="13"/>
        <item x="9"/>
        <item x="8"/>
        <item x="5"/>
        <item x="3"/>
        <item x="15"/>
        <item x="0"/>
        <item x="2"/>
        <item x="14"/>
        <item t="default"/>
      </items>
    </pivotField>
    <pivotField dataField="1" showAll="0">
      <items count="27">
        <item x="13"/>
        <item x="2"/>
        <item x="11"/>
        <item x="20"/>
        <item x="9"/>
        <item x="17"/>
        <item x="4"/>
        <item x="1"/>
        <item x="12"/>
        <item x="21"/>
        <item x="15"/>
        <item x="22"/>
        <item x="8"/>
        <item x="7"/>
        <item x="3"/>
        <item x="25"/>
        <item x="5"/>
        <item x="0"/>
        <item x="18"/>
        <item x="23"/>
        <item x="16"/>
        <item x="19"/>
        <item x="24"/>
        <item x="10"/>
        <item x="14"/>
        <item x="6"/>
        <item t="default"/>
      </items>
    </pivotField>
    <pivotField axis="axisRow" showAll="0">
      <items count="10">
        <item x="8"/>
        <item x="6"/>
        <item x="3"/>
        <item x="1"/>
        <item x="2"/>
        <item x="4"/>
        <item x="5"/>
        <item x="7"/>
        <item x="0"/>
        <item t="default"/>
      </items>
    </pivotField>
    <pivotField axis="axisPage" dataField="1" numFmtId="164" showAll="0">
      <items count="30">
        <item x="17"/>
        <item x="20"/>
        <item x="14"/>
        <item x="2"/>
        <item x="26"/>
        <item x="6"/>
        <item x="11"/>
        <item x="10"/>
        <item x="15"/>
        <item x="25"/>
        <item x="19"/>
        <item x="21"/>
        <item x="9"/>
        <item x="18"/>
        <item x="4"/>
        <item x="13"/>
        <item x="12"/>
        <item x="22"/>
        <item x="27"/>
        <item x="1"/>
        <item x="16"/>
        <item x="23"/>
        <item x="28"/>
        <item x="8"/>
        <item x="7"/>
        <item x="3"/>
        <item x="5"/>
        <item x="0"/>
        <item x="24"/>
        <item t="default"/>
      </items>
    </pivotField>
  </pivotFields>
  <rowFields count="3">
    <field x="1"/>
    <field x="5"/>
    <field x="0"/>
  </rowFields>
  <rowItems count="55">
    <i>
      <x v="1"/>
    </i>
    <i r="1">
      <x v="8"/>
    </i>
    <i r="2">
      <x v="3"/>
    </i>
    <i>
      <x v="2"/>
    </i>
    <i r="1">
      <x v="8"/>
    </i>
    <i r="2">
      <x v="27"/>
    </i>
    <i>
      <x v="3"/>
    </i>
    <i r="1">
      <x v="1"/>
    </i>
    <i r="2">
      <x v="19"/>
    </i>
    <i>
      <x v="4"/>
    </i>
    <i r="1">
      <x v="5"/>
    </i>
    <i r="2">
      <x v="20"/>
    </i>
    <i>
      <x v="5"/>
    </i>
    <i r="1">
      <x v="8"/>
    </i>
    <i r="2">
      <x v="12"/>
    </i>
    <i>
      <x v="7"/>
    </i>
    <i r="1">
      <x v="8"/>
    </i>
    <i r="2">
      <x/>
    </i>
    <i>
      <x v="9"/>
    </i>
    <i r="1">
      <x v="8"/>
    </i>
    <i r="2">
      <x v="2"/>
    </i>
    <i>
      <x v="10"/>
    </i>
    <i r="1">
      <x v="8"/>
    </i>
    <i r="2">
      <x v="5"/>
    </i>
    <i>
      <x v="11"/>
    </i>
    <i r="1">
      <x/>
    </i>
    <i r="2">
      <x v="28"/>
    </i>
    <i>
      <x v="13"/>
    </i>
    <i r="1">
      <x v="8"/>
    </i>
    <i r="2">
      <x v="25"/>
    </i>
    <i>
      <x v="14"/>
    </i>
    <i r="1">
      <x v="3"/>
    </i>
    <i r="2">
      <x v="1"/>
    </i>
    <i>
      <x v="18"/>
    </i>
    <i r="1">
      <x v="8"/>
    </i>
    <i r="2">
      <x v="24"/>
    </i>
    <i>
      <x v="21"/>
    </i>
    <i r="1">
      <x v="8"/>
    </i>
    <i r="2">
      <x v="7"/>
    </i>
    <i>
      <x v="22"/>
    </i>
    <i r="1">
      <x v="8"/>
    </i>
    <i r="2">
      <x v="22"/>
    </i>
    <i>
      <x v="24"/>
    </i>
    <i r="1">
      <x v="8"/>
    </i>
    <i r="2">
      <x v="18"/>
    </i>
    <i>
      <x v="25"/>
    </i>
    <i r="1">
      <x v="8"/>
    </i>
    <i r="2">
      <x v="8"/>
    </i>
    <i>
      <x v="26"/>
    </i>
    <i r="1">
      <x v="8"/>
    </i>
    <i r="2">
      <x v="23"/>
    </i>
    <i>
      <x v="27"/>
    </i>
    <i r="1">
      <x v="2"/>
    </i>
    <i r="2">
      <x v="16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6" hier="-1"/>
  </pageFields>
  <dataFields count="2">
    <dataField name="Sum of salary" fld="4" baseField="0" baseItem="0"/>
    <dataField name="Sum of salary_in_usd" fld="6" baseField="0" baseItem="0" numFmtId="164"/>
  </dataFields>
  <pivotTableStyleInfo name="PivotStyleLight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G15" totalsRowShown="0" headerRowDxfId="9" dataDxfId="7" headerRowBorderDxfId="8" tableBorderDxfId="6">
  <autoFilter ref="B1:G15" xr:uid="{00000000-0009-0000-0100-000001000000}"/>
  <tableColumns count="6">
    <tableColumn id="1" xr3:uid="{00000000-0010-0000-0000-000001000000}" name="full_name" dataDxfId="5"/>
    <tableColumn id="2" xr3:uid="{00000000-0010-0000-0000-000002000000}" name="employee_residence" dataDxfId="4"/>
    <tableColumn id="3" xr3:uid="{00000000-0010-0000-0000-000003000000}" name="job_title" dataDxfId="3"/>
    <tableColumn id="4" xr3:uid="{00000000-0010-0000-0000-000004000000}" name="salary" dataDxfId="2"/>
    <tableColumn id="5" xr3:uid="{00000000-0010-0000-0000-000005000000}" name="salary_currency" dataDxfId="1"/>
    <tableColumn id="6" xr3:uid="{00000000-0010-0000-0000-000006000000}" name="salary_in_usd" dataDxfId="0" dataCellStyle="Currency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zoomScale="44" zoomScaleNormal="44" workbookViewId="0">
      <selection activeCell="C59" sqref="C59"/>
    </sheetView>
  </sheetViews>
  <sheetFormatPr defaultRowHeight="14.4" x14ac:dyDescent="0.3"/>
  <cols>
    <col min="1" max="1" width="16.21875" bestFit="1" customWidth="1"/>
    <col min="2" max="2" width="16.33203125" bestFit="1" customWidth="1"/>
    <col min="3" max="3" width="19.109375" bestFit="1" customWidth="1"/>
    <col min="4" max="19" width="9.109375" bestFit="1" customWidth="1"/>
    <col min="20" max="20" width="19.109375" bestFit="1" customWidth="1"/>
    <col min="21" max="21" width="10.5546875" bestFit="1" customWidth="1"/>
    <col min="22" max="22" width="9.109375" bestFit="1" customWidth="1"/>
    <col min="23" max="26" width="10.5546875" bestFit="1" customWidth="1"/>
    <col min="27" max="27" width="9.109375" bestFit="1" customWidth="1"/>
    <col min="28" max="28" width="10.5546875" bestFit="1" customWidth="1"/>
    <col min="29" max="32" width="9.109375" bestFit="1" customWidth="1"/>
    <col min="33" max="34" width="10.5546875" bestFit="1" customWidth="1"/>
    <col min="35" max="35" width="9.109375" bestFit="1" customWidth="1"/>
    <col min="36" max="37" width="10.5546875" bestFit="1" customWidth="1"/>
    <col min="38" max="38" width="17.21875" bestFit="1" customWidth="1"/>
    <col min="39" max="39" width="23.88671875" bestFit="1" customWidth="1"/>
  </cols>
  <sheetData>
    <row r="1" spans="1:3" x14ac:dyDescent="0.3">
      <c r="A1" s="3" t="s">
        <v>0</v>
      </c>
      <c r="B1" t="s">
        <v>1</v>
      </c>
    </row>
    <row r="2" spans="1:3" x14ac:dyDescent="0.3">
      <c r="A2" s="3" t="s">
        <v>2</v>
      </c>
      <c r="B2" t="s">
        <v>3</v>
      </c>
    </row>
    <row r="4" spans="1:3" x14ac:dyDescent="0.3">
      <c r="A4" s="3" t="s">
        <v>4</v>
      </c>
      <c r="B4" t="s">
        <v>5</v>
      </c>
      <c r="C4" t="s">
        <v>6</v>
      </c>
    </row>
    <row r="5" spans="1:3" x14ac:dyDescent="0.3">
      <c r="A5" s="4" t="s">
        <v>7</v>
      </c>
      <c r="B5">
        <v>150000</v>
      </c>
      <c r="C5" s="7">
        <v>150000</v>
      </c>
    </row>
    <row r="6" spans="1:3" x14ac:dyDescent="0.3">
      <c r="A6" s="5" t="s">
        <v>8</v>
      </c>
      <c r="B6">
        <v>150000</v>
      </c>
      <c r="C6" s="7">
        <v>150000</v>
      </c>
    </row>
    <row r="7" spans="1:3" x14ac:dyDescent="0.3">
      <c r="A7" s="6" t="s">
        <v>9</v>
      </c>
      <c r="B7">
        <v>150000</v>
      </c>
      <c r="C7" s="7">
        <v>150000</v>
      </c>
    </row>
    <row r="8" spans="1:3" x14ac:dyDescent="0.3">
      <c r="A8" s="4" t="s">
        <v>10</v>
      </c>
      <c r="B8">
        <v>100000</v>
      </c>
      <c r="C8" s="7">
        <v>100000</v>
      </c>
    </row>
    <row r="9" spans="1:3" x14ac:dyDescent="0.3">
      <c r="A9" s="5" t="s">
        <v>8</v>
      </c>
      <c r="B9">
        <v>100000</v>
      </c>
      <c r="C9" s="7">
        <v>100000</v>
      </c>
    </row>
    <row r="10" spans="1:3" x14ac:dyDescent="0.3">
      <c r="A10" s="6" t="s">
        <v>11</v>
      </c>
      <c r="B10">
        <v>100000</v>
      </c>
      <c r="C10" s="7">
        <v>100000</v>
      </c>
    </row>
    <row r="11" spans="1:3" x14ac:dyDescent="0.3">
      <c r="A11" s="4" t="s">
        <v>12</v>
      </c>
      <c r="B11">
        <v>299000</v>
      </c>
      <c r="C11" s="7">
        <v>43331</v>
      </c>
    </row>
    <row r="12" spans="1:3" x14ac:dyDescent="0.3">
      <c r="A12" s="5" t="s">
        <v>13</v>
      </c>
      <c r="B12">
        <v>299000</v>
      </c>
      <c r="C12" s="7">
        <v>43331</v>
      </c>
    </row>
    <row r="13" spans="1:3" x14ac:dyDescent="0.3">
      <c r="A13" s="6" t="s">
        <v>14</v>
      </c>
      <c r="B13">
        <v>299000</v>
      </c>
      <c r="C13" s="7">
        <v>43331</v>
      </c>
    </row>
    <row r="14" spans="1:3" x14ac:dyDescent="0.3">
      <c r="A14" s="4" t="s">
        <v>15</v>
      </c>
      <c r="B14">
        <v>450000</v>
      </c>
      <c r="C14" s="7">
        <v>6072</v>
      </c>
    </row>
    <row r="15" spans="1:3" x14ac:dyDescent="0.3">
      <c r="A15" s="5" t="s">
        <v>16</v>
      </c>
      <c r="B15">
        <v>450000</v>
      </c>
      <c r="C15" s="7">
        <v>6072</v>
      </c>
    </row>
    <row r="16" spans="1:3" x14ac:dyDescent="0.3">
      <c r="A16" s="6" t="s">
        <v>17</v>
      </c>
      <c r="B16">
        <v>450000</v>
      </c>
      <c r="C16" s="7">
        <v>6072</v>
      </c>
    </row>
    <row r="17" spans="1:3" x14ac:dyDescent="0.3">
      <c r="A17" s="4" t="s">
        <v>18</v>
      </c>
      <c r="B17">
        <v>87000</v>
      </c>
      <c r="C17" s="7">
        <v>87000</v>
      </c>
    </row>
    <row r="18" spans="1:3" x14ac:dyDescent="0.3">
      <c r="A18" s="5" t="s">
        <v>8</v>
      </c>
      <c r="B18">
        <v>87000</v>
      </c>
      <c r="C18" s="7">
        <v>87000</v>
      </c>
    </row>
    <row r="19" spans="1:3" x14ac:dyDescent="0.3">
      <c r="A19" s="6" t="s">
        <v>19</v>
      </c>
      <c r="B19">
        <v>87000</v>
      </c>
      <c r="C19" s="7">
        <v>87000</v>
      </c>
    </row>
    <row r="20" spans="1:3" x14ac:dyDescent="0.3">
      <c r="A20" s="4" t="s">
        <v>20</v>
      </c>
      <c r="B20">
        <v>260000</v>
      </c>
      <c r="C20" s="7">
        <v>260000</v>
      </c>
    </row>
    <row r="21" spans="1:3" x14ac:dyDescent="0.3">
      <c r="A21" s="5" t="s">
        <v>8</v>
      </c>
      <c r="B21">
        <v>260000</v>
      </c>
      <c r="C21" s="7">
        <v>260000</v>
      </c>
    </row>
    <row r="22" spans="1:3" x14ac:dyDescent="0.3">
      <c r="A22" s="6" t="s">
        <v>21</v>
      </c>
      <c r="B22">
        <v>260000</v>
      </c>
      <c r="C22" s="7">
        <v>260000</v>
      </c>
    </row>
    <row r="23" spans="1:3" x14ac:dyDescent="0.3">
      <c r="A23" s="4" t="s">
        <v>22</v>
      </c>
      <c r="B23">
        <v>20000</v>
      </c>
      <c r="C23" s="7">
        <v>20000</v>
      </c>
    </row>
    <row r="24" spans="1:3" x14ac:dyDescent="0.3">
      <c r="A24" s="5" t="s">
        <v>8</v>
      </c>
      <c r="B24">
        <v>20000</v>
      </c>
      <c r="C24" s="7">
        <v>20000</v>
      </c>
    </row>
    <row r="25" spans="1:3" x14ac:dyDescent="0.3">
      <c r="A25" s="6" t="s">
        <v>23</v>
      </c>
      <c r="B25">
        <v>20000</v>
      </c>
      <c r="C25" s="7">
        <v>20000</v>
      </c>
    </row>
    <row r="26" spans="1:3" x14ac:dyDescent="0.3">
      <c r="A26" s="4" t="s">
        <v>24</v>
      </c>
      <c r="B26">
        <v>190000</v>
      </c>
      <c r="C26" s="7">
        <v>190000</v>
      </c>
    </row>
    <row r="27" spans="1:3" x14ac:dyDescent="0.3">
      <c r="A27" s="5" t="s">
        <v>8</v>
      </c>
      <c r="B27">
        <v>190000</v>
      </c>
      <c r="C27" s="7">
        <v>190000</v>
      </c>
    </row>
    <row r="28" spans="1:3" x14ac:dyDescent="0.3">
      <c r="A28" s="6" t="s">
        <v>25</v>
      </c>
      <c r="B28">
        <v>190000</v>
      </c>
      <c r="C28" s="7">
        <v>190000</v>
      </c>
    </row>
    <row r="29" spans="1:3" x14ac:dyDescent="0.3">
      <c r="A29" s="4" t="s">
        <v>26</v>
      </c>
      <c r="B29">
        <v>157000</v>
      </c>
      <c r="C29" s="7">
        <v>117104</v>
      </c>
    </row>
    <row r="30" spans="1:3" x14ac:dyDescent="0.3">
      <c r="A30" s="5" t="s">
        <v>27</v>
      </c>
      <c r="B30">
        <v>157000</v>
      </c>
      <c r="C30" s="7">
        <v>117104</v>
      </c>
    </row>
    <row r="31" spans="1:3" x14ac:dyDescent="0.3">
      <c r="A31" s="6" t="s">
        <v>28</v>
      </c>
      <c r="B31">
        <v>157000</v>
      </c>
      <c r="C31" s="7">
        <v>117104</v>
      </c>
    </row>
    <row r="32" spans="1:3" x14ac:dyDescent="0.3">
      <c r="A32" s="4" t="s">
        <v>29</v>
      </c>
      <c r="B32">
        <v>42000</v>
      </c>
      <c r="C32" s="7">
        <v>42000</v>
      </c>
    </row>
    <row r="33" spans="1:3" x14ac:dyDescent="0.3">
      <c r="A33" s="5" t="s">
        <v>8</v>
      </c>
      <c r="B33">
        <v>42000</v>
      </c>
      <c r="C33" s="7">
        <v>42000</v>
      </c>
    </row>
    <row r="34" spans="1:3" x14ac:dyDescent="0.3">
      <c r="A34" s="6" t="s">
        <v>30</v>
      </c>
      <c r="B34">
        <v>42000</v>
      </c>
      <c r="C34" s="7">
        <v>42000</v>
      </c>
    </row>
    <row r="35" spans="1:3" x14ac:dyDescent="0.3">
      <c r="A35" s="4" t="s">
        <v>31</v>
      </c>
      <c r="B35">
        <v>85000</v>
      </c>
      <c r="C35" s="7">
        <v>109024</v>
      </c>
    </row>
    <row r="36" spans="1:3" x14ac:dyDescent="0.3">
      <c r="A36" s="5" t="s">
        <v>32</v>
      </c>
      <c r="B36">
        <v>85000</v>
      </c>
      <c r="C36" s="7">
        <v>109024</v>
      </c>
    </row>
    <row r="37" spans="1:3" x14ac:dyDescent="0.3">
      <c r="A37" s="6" t="s">
        <v>33</v>
      </c>
      <c r="B37">
        <v>85000</v>
      </c>
      <c r="C37" s="7">
        <v>109024</v>
      </c>
    </row>
    <row r="38" spans="1:3" x14ac:dyDescent="0.3">
      <c r="A38" s="4" t="s">
        <v>34</v>
      </c>
      <c r="B38">
        <v>325000</v>
      </c>
      <c r="C38" s="7">
        <v>325000</v>
      </c>
    </row>
    <row r="39" spans="1:3" x14ac:dyDescent="0.3">
      <c r="A39" s="5" t="s">
        <v>8</v>
      </c>
      <c r="B39">
        <v>325000</v>
      </c>
      <c r="C39" s="7">
        <v>325000</v>
      </c>
    </row>
    <row r="40" spans="1:3" x14ac:dyDescent="0.3">
      <c r="A40" s="6" t="s">
        <v>35</v>
      </c>
      <c r="B40">
        <v>325000</v>
      </c>
      <c r="C40" s="7">
        <v>325000</v>
      </c>
    </row>
    <row r="41" spans="1:3" x14ac:dyDescent="0.3">
      <c r="A41" s="4" t="s">
        <v>36</v>
      </c>
      <c r="B41">
        <v>135000</v>
      </c>
      <c r="C41" s="7">
        <v>135000</v>
      </c>
    </row>
    <row r="42" spans="1:3" x14ac:dyDescent="0.3">
      <c r="A42" s="5" t="s">
        <v>8</v>
      </c>
      <c r="B42">
        <v>135000</v>
      </c>
      <c r="C42" s="7">
        <v>135000</v>
      </c>
    </row>
    <row r="43" spans="1:3" x14ac:dyDescent="0.3">
      <c r="A43" s="6" t="s">
        <v>37</v>
      </c>
      <c r="B43">
        <v>135000</v>
      </c>
      <c r="C43" s="7">
        <v>135000</v>
      </c>
    </row>
    <row r="44" spans="1:3" x14ac:dyDescent="0.3">
      <c r="A44" s="4" t="s">
        <v>38</v>
      </c>
      <c r="B44">
        <v>98000</v>
      </c>
      <c r="C44" s="7">
        <v>98000</v>
      </c>
    </row>
    <row r="45" spans="1:3" x14ac:dyDescent="0.3">
      <c r="A45" s="5" t="s">
        <v>8</v>
      </c>
      <c r="B45">
        <v>98000</v>
      </c>
      <c r="C45" s="7">
        <v>98000</v>
      </c>
    </row>
    <row r="46" spans="1:3" x14ac:dyDescent="0.3">
      <c r="A46" s="6" t="s">
        <v>39</v>
      </c>
      <c r="B46">
        <v>98000</v>
      </c>
      <c r="C46" s="7">
        <v>98000</v>
      </c>
    </row>
    <row r="47" spans="1:3" x14ac:dyDescent="0.3">
      <c r="A47" s="4" t="s">
        <v>40</v>
      </c>
      <c r="B47">
        <v>56000</v>
      </c>
      <c r="C47" s="7">
        <v>56000</v>
      </c>
    </row>
    <row r="48" spans="1:3" x14ac:dyDescent="0.3">
      <c r="A48" s="5" t="s">
        <v>8</v>
      </c>
      <c r="B48">
        <v>56000</v>
      </c>
      <c r="C48" s="7">
        <v>56000</v>
      </c>
    </row>
    <row r="49" spans="1:3" x14ac:dyDescent="0.3">
      <c r="A49" s="6" t="s">
        <v>41</v>
      </c>
      <c r="B49">
        <v>56000</v>
      </c>
      <c r="C49" s="7">
        <v>56000</v>
      </c>
    </row>
    <row r="50" spans="1:3" x14ac:dyDescent="0.3">
      <c r="A50" s="4" t="s">
        <v>42</v>
      </c>
      <c r="B50">
        <v>125000</v>
      </c>
      <c r="C50" s="7">
        <v>125000</v>
      </c>
    </row>
    <row r="51" spans="1:3" x14ac:dyDescent="0.3">
      <c r="A51" s="5" t="s">
        <v>8</v>
      </c>
      <c r="B51">
        <v>125000</v>
      </c>
      <c r="C51" s="7">
        <v>125000</v>
      </c>
    </row>
    <row r="52" spans="1:3" x14ac:dyDescent="0.3">
      <c r="A52" s="6" t="s">
        <v>43</v>
      </c>
      <c r="B52">
        <v>125000</v>
      </c>
      <c r="C52" s="7">
        <v>125000</v>
      </c>
    </row>
    <row r="53" spans="1:3" x14ac:dyDescent="0.3">
      <c r="A53" s="4" t="s">
        <v>44</v>
      </c>
      <c r="B53">
        <v>115000</v>
      </c>
      <c r="C53" s="7">
        <v>115000</v>
      </c>
    </row>
    <row r="54" spans="1:3" x14ac:dyDescent="0.3">
      <c r="A54" s="5" t="s">
        <v>8</v>
      </c>
      <c r="B54">
        <v>115000</v>
      </c>
      <c r="C54" s="7">
        <v>115000</v>
      </c>
    </row>
    <row r="55" spans="1:3" x14ac:dyDescent="0.3">
      <c r="A55" s="6" t="s">
        <v>45</v>
      </c>
      <c r="B55">
        <v>115000</v>
      </c>
      <c r="C55" s="7">
        <v>115000</v>
      </c>
    </row>
    <row r="56" spans="1:3" x14ac:dyDescent="0.3">
      <c r="A56" s="4" t="s">
        <v>46</v>
      </c>
      <c r="B56">
        <v>100000</v>
      </c>
      <c r="C56" s="7">
        <v>114047</v>
      </c>
    </row>
    <row r="57" spans="1:3" x14ac:dyDescent="0.3">
      <c r="A57" s="5" t="s">
        <v>47</v>
      </c>
      <c r="B57">
        <v>100000</v>
      </c>
      <c r="C57" s="7">
        <v>114047</v>
      </c>
    </row>
    <row r="58" spans="1:3" x14ac:dyDescent="0.3">
      <c r="A58" s="6" t="s">
        <v>48</v>
      </c>
      <c r="B58">
        <v>100000</v>
      </c>
      <c r="C58" s="7">
        <v>114047</v>
      </c>
    </row>
    <row r="59" spans="1:3" x14ac:dyDescent="0.3">
      <c r="A59" s="4" t="s">
        <v>49</v>
      </c>
      <c r="B59">
        <v>2794000</v>
      </c>
      <c r="C59" s="7">
        <v>2092578</v>
      </c>
    </row>
    <row r="60" spans="1:3" x14ac:dyDescent="0.3">
      <c r="C6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tabSelected="1" zoomScale="52" workbookViewId="0">
      <selection activeCell="F6" sqref="F6"/>
    </sheetView>
  </sheetViews>
  <sheetFormatPr defaultRowHeight="14.4" x14ac:dyDescent="0.3"/>
  <cols>
    <col min="1" max="1" width="25.77734375" customWidth="1"/>
    <col min="2" max="2" width="31.33203125" customWidth="1"/>
    <col min="3" max="3" width="39.77734375" customWidth="1"/>
    <col min="4" max="4" width="26.6640625" customWidth="1"/>
    <col min="5" max="5" width="22.77734375" customWidth="1"/>
    <col min="6" max="6" width="29" style="1" customWidth="1"/>
    <col min="7" max="7" width="25.33203125" style="2" customWidth="1"/>
  </cols>
  <sheetData>
    <row r="1" spans="1:7" ht="25.8" customHeight="1" x14ac:dyDescent="0.3">
      <c r="A1" s="8" t="s">
        <v>50</v>
      </c>
      <c r="B1" s="8" t="s">
        <v>51</v>
      </c>
      <c r="C1" s="8" t="s">
        <v>52</v>
      </c>
      <c r="D1" s="8" t="s">
        <v>0</v>
      </c>
      <c r="E1" s="8" t="s">
        <v>53</v>
      </c>
      <c r="F1" s="8" t="s">
        <v>54</v>
      </c>
      <c r="G1" s="9" t="s">
        <v>2</v>
      </c>
    </row>
    <row r="2" spans="1:7" ht="21" customHeight="1" x14ac:dyDescent="0.4">
      <c r="A2" s="10" t="s">
        <v>21</v>
      </c>
      <c r="B2" s="10" t="s">
        <v>20</v>
      </c>
      <c r="C2" s="10" t="s">
        <v>55</v>
      </c>
      <c r="D2" s="10" t="s">
        <v>56</v>
      </c>
      <c r="E2" s="10">
        <v>260000</v>
      </c>
      <c r="F2" s="11" t="s">
        <v>8</v>
      </c>
      <c r="G2" s="12">
        <f>E2*1</f>
        <v>260000</v>
      </c>
    </row>
    <row r="3" spans="1:7" ht="21" customHeight="1" x14ac:dyDescent="0.4">
      <c r="A3" s="10" t="s">
        <v>33</v>
      </c>
      <c r="B3" s="10" t="s">
        <v>31</v>
      </c>
      <c r="C3" s="10" t="s">
        <v>57</v>
      </c>
      <c r="D3" s="10" t="s">
        <v>58</v>
      </c>
      <c r="E3" s="10">
        <v>85000</v>
      </c>
      <c r="F3" s="11" t="s">
        <v>32</v>
      </c>
      <c r="G3" s="12">
        <f>E3*1.28</f>
        <v>108800</v>
      </c>
    </row>
    <row r="4" spans="1:7" ht="21" customHeight="1" x14ac:dyDescent="0.4">
      <c r="A4" s="10" t="s">
        <v>23</v>
      </c>
      <c r="B4" s="10" t="s">
        <v>22</v>
      </c>
      <c r="C4" s="10" t="s">
        <v>59</v>
      </c>
      <c r="D4" s="10" t="s">
        <v>60</v>
      </c>
      <c r="E4" s="10">
        <v>20000</v>
      </c>
      <c r="F4" s="11" t="s">
        <v>8</v>
      </c>
      <c r="G4" s="12">
        <f>E4*1</f>
        <v>20000</v>
      </c>
    </row>
    <row r="5" spans="1:7" ht="21" customHeight="1" x14ac:dyDescent="0.4">
      <c r="A5" s="10" t="s">
        <v>9</v>
      </c>
      <c r="B5" s="10" t="s">
        <v>7</v>
      </c>
      <c r="C5" s="10" t="s">
        <v>61</v>
      </c>
      <c r="D5" s="10" t="s">
        <v>62</v>
      </c>
      <c r="E5" s="10">
        <v>150000</v>
      </c>
      <c r="F5" s="11" t="s">
        <v>8</v>
      </c>
      <c r="G5" s="12">
        <f>E5*1</f>
        <v>150000</v>
      </c>
    </row>
    <row r="6" spans="1:7" ht="21" customHeight="1" x14ac:dyDescent="0.4">
      <c r="A6" s="10" t="s">
        <v>63</v>
      </c>
      <c r="B6" s="10" t="s">
        <v>64</v>
      </c>
      <c r="C6" s="10" t="s">
        <v>61</v>
      </c>
      <c r="D6" s="10" t="s">
        <v>65</v>
      </c>
      <c r="E6" s="10">
        <v>72000</v>
      </c>
      <c r="F6" s="11" t="s">
        <v>8</v>
      </c>
      <c r="G6" s="12">
        <f>E6*1</f>
        <v>72000</v>
      </c>
    </row>
    <row r="7" spans="1:7" ht="21" customHeight="1" x14ac:dyDescent="0.4">
      <c r="A7" s="10" t="s">
        <v>25</v>
      </c>
      <c r="B7" s="10" t="s">
        <v>24</v>
      </c>
      <c r="C7" s="10" t="s">
        <v>61</v>
      </c>
      <c r="D7" s="10" t="s">
        <v>66</v>
      </c>
      <c r="E7" s="10">
        <v>190000</v>
      </c>
      <c r="F7" s="11" t="s">
        <v>8</v>
      </c>
      <c r="G7" s="12">
        <f>E7*1</f>
        <v>190000</v>
      </c>
    </row>
    <row r="8" spans="1:7" ht="21" customHeight="1" x14ac:dyDescent="0.4">
      <c r="A8" s="10" t="s">
        <v>67</v>
      </c>
      <c r="B8" s="10" t="s">
        <v>68</v>
      </c>
      <c r="C8" s="10" t="s">
        <v>69</v>
      </c>
      <c r="D8" s="10" t="s">
        <v>70</v>
      </c>
      <c r="E8" s="10">
        <v>110000</v>
      </c>
      <c r="F8" s="11" t="s">
        <v>8</v>
      </c>
      <c r="G8" s="12">
        <f>E8</f>
        <v>110000</v>
      </c>
    </row>
    <row r="9" spans="1:7" ht="21" customHeight="1" x14ac:dyDescent="0.4">
      <c r="A9" s="10" t="s">
        <v>37</v>
      </c>
      <c r="B9" s="10" t="s">
        <v>36</v>
      </c>
      <c r="C9" s="10" t="s">
        <v>61</v>
      </c>
      <c r="D9" s="10" t="s">
        <v>71</v>
      </c>
      <c r="E9" s="10">
        <v>135000</v>
      </c>
      <c r="F9" s="11" t="s">
        <v>8</v>
      </c>
      <c r="G9" s="12">
        <f>E9*1</f>
        <v>135000</v>
      </c>
    </row>
    <row r="10" spans="1:7" ht="21" customHeight="1" x14ac:dyDescent="0.4">
      <c r="A10" s="10" t="s">
        <v>43</v>
      </c>
      <c r="B10" s="10" t="s">
        <v>42</v>
      </c>
      <c r="C10" s="10" t="s">
        <v>72</v>
      </c>
      <c r="D10" s="10" t="s">
        <v>73</v>
      </c>
      <c r="E10" s="10">
        <v>125000</v>
      </c>
      <c r="F10" s="11" t="s">
        <v>8</v>
      </c>
      <c r="G10" s="12">
        <f>E10*1</f>
        <v>125000</v>
      </c>
    </row>
    <row r="11" spans="1:7" ht="21" customHeight="1" x14ac:dyDescent="0.4">
      <c r="A11" s="10" t="s">
        <v>74</v>
      </c>
      <c r="B11" s="10" t="s">
        <v>75</v>
      </c>
      <c r="C11" s="10" t="s">
        <v>76</v>
      </c>
      <c r="D11" s="10" t="s">
        <v>70</v>
      </c>
      <c r="E11" s="10">
        <v>45000</v>
      </c>
      <c r="F11" s="11" t="s">
        <v>47</v>
      </c>
      <c r="G11" s="12">
        <f>E11*1.1</f>
        <v>49500.000000000007</v>
      </c>
    </row>
    <row r="12" spans="1:7" ht="21" customHeight="1" x14ac:dyDescent="0.4">
      <c r="A12" s="10" t="s">
        <v>77</v>
      </c>
      <c r="B12" s="10" t="s">
        <v>78</v>
      </c>
      <c r="C12" s="10" t="s">
        <v>79</v>
      </c>
      <c r="D12" s="10" t="s">
        <v>70</v>
      </c>
      <c r="E12" s="10">
        <v>3000000</v>
      </c>
      <c r="F12" s="11" t="s">
        <v>16</v>
      </c>
      <c r="G12" s="12">
        <f>E12/83</f>
        <v>36144.578313253012</v>
      </c>
    </row>
    <row r="13" spans="1:7" ht="21" customHeight="1" x14ac:dyDescent="0.4">
      <c r="A13" s="10" t="s">
        <v>80</v>
      </c>
      <c r="B13" s="10" t="s">
        <v>81</v>
      </c>
      <c r="C13" s="10" t="s">
        <v>76</v>
      </c>
      <c r="D13" s="10" t="s">
        <v>70</v>
      </c>
      <c r="E13" s="10">
        <v>35000</v>
      </c>
      <c r="F13" s="11" t="s">
        <v>47</v>
      </c>
      <c r="G13" s="12">
        <f>E13*1.1</f>
        <v>38500</v>
      </c>
    </row>
    <row r="14" spans="1:7" ht="21" customHeight="1" x14ac:dyDescent="0.4">
      <c r="A14" s="10" t="s">
        <v>19</v>
      </c>
      <c r="B14" s="10" t="s">
        <v>18</v>
      </c>
      <c r="C14" s="10" t="s">
        <v>61</v>
      </c>
      <c r="D14" s="10" t="s">
        <v>82</v>
      </c>
      <c r="E14" s="10">
        <v>87000</v>
      </c>
      <c r="F14" s="11" t="s">
        <v>8</v>
      </c>
      <c r="G14" s="12">
        <f>E14*1</f>
        <v>87000</v>
      </c>
    </row>
    <row r="15" spans="1:7" ht="21" x14ac:dyDescent="0.4">
      <c r="A15" s="13"/>
      <c r="B15" s="10"/>
      <c r="C15" s="10"/>
      <c r="D15" s="10"/>
      <c r="E15" s="10"/>
      <c r="F15" s="11" t="s">
        <v>49</v>
      </c>
      <c r="G15" s="12">
        <f>SUM(G2:G14)</f>
        <v>1381944.5783132531</v>
      </c>
    </row>
    <row r="16" spans="1:7" x14ac:dyDescent="0.3">
      <c r="G16"/>
    </row>
    <row r="17" spans="7:7" x14ac:dyDescent="0.3">
      <c r="G17"/>
    </row>
    <row r="18" spans="7:7" x14ac:dyDescent="0.3">
      <c r="G18"/>
    </row>
    <row r="19" spans="7:7" x14ac:dyDescent="0.3">
      <c r="G19"/>
    </row>
    <row r="20" spans="7:7" x14ac:dyDescent="0.3">
      <c r="G20"/>
    </row>
    <row r="21" spans="7:7" x14ac:dyDescent="0.3">
      <c r="G21"/>
    </row>
    <row r="22" spans="7:7" x14ac:dyDescent="0.3">
      <c r="G22"/>
    </row>
    <row r="23" spans="7:7" x14ac:dyDescent="0.3">
      <c r="G23"/>
    </row>
    <row r="24" spans="7:7" x14ac:dyDescent="0.3">
      <c r="G24"/>
    </row>
    <row r="25" spans="7:7" x14ac:dyDescent="0.3">
      <c r="G25"/>
    </row>
    <row r="26" spans="7:7" x14ac:dyDescent="0.3">
      <c r="G26"/>
    </row>
    <row r="27" spans="7:7" x14ac:dyDescent="0.3">
      <c r="G27"/>
    </row>
    <row r="28" spans="7:7" x14ac:dyDescent="0.3">
      <c r="G28"/>
    </row>
    <row r="29" spans="7:7" x14ac:dyDescent="0.3">
      <c r="G29"/>
    </row>
    <row r="30" spans="7:7" x14ac:dyDescent="0.3">
      <c r="G30"/>
    </row>
    <row r="31" spans="7:7" x14ac:dyDescent="0.3">
      <c r="G31"/>
    </row>
    <row r="32" spans="7:7" x14ac:dyDescent="0.3">
      <c r="G32"/>
    </row>
    <row r="33" spans="7:7" x14ac:dyDescent="0.3">
      <c r="G33"/>
    </row>
    <row r="34" spans="7:7" x14ac:dyDescent="0.3">
      <c r="G34"/>
    </row>
    <row r="35" spans="7:7" x14ac:dyDescent="0.3">
      <c r="G35"/>
    </row>
    <row r="36" spans="7:7" x14ac:dyDescent="0.3">
      <c r="G36"/>
    </row>
    <row r="37" spans="7:7" x14ac:dyDescent="0.3">
      <c r="G37"/>
    </row>
    <row r="38" spans="7:7" x14ac:dyDescent="0.3">
      <c r="G38"/>
    </row>
    <row r="39" spans="7:7" x14ac:dyDescent="0.3">
      <c r="G39"/>
    </row>
    <row r="40" spans="7:7" x14ac:dyDescent="0.3">
      <c r="G40"/>
    </row>
    <row r="41" spans="7:7" x14ac:dyDescent="0.3">
      <c r="G41"/>
    </row>
    <row r="42" spans="7:7" x14ac:dyDescent="0.3">
      <c r="G42"/>
    </row>
    <row r="43" spans="7:7" x14ac:dyDescent="0.3">
      <c r="G43"/>
    </row>
    <row r="44" spans="7:7" x14ac:dyDescent="0.3">
      <c r="G44"/>
    </row>
    <row r="45" spans="7:7" x14ac:dyDescent="0.3">
      <c r="G45"/>
    </row>
    <row r="46" spans="7:7" x14ac:dyDescent="0.3">
      <c r="G46"/>
    </row>
    <row r="47" spans="7:7" x14ac:dyDescent="0.3">
      <c r="G47"/>
    </row>
    <row r="48" spans="7:7" x14ac:dyDescent="0.3">
      <c r="G48"/>
    </row>
    <row r="49" spans="7:7" x14ac:dyDescent="0.3">
      <c r="G49"/>
    </row>
    <row r="50" spans="7:7" x14ac:dyDescent="0.3">
      <c r="G50"/>
    </row>
    <row r="51" spans="7:7" x14ac:dyDescent="0.3">
      <c r="G51"/>
    </row>
    <row r="52" spans="7:7" x14ac:dyDescent="0.3">
      <c r="G52"/>
    </row>
    <row r="53" spans="7:7" x14ac:dyDescent="0.3">
      <c r="G53"/>
    </row>
    <row r="54" spans="7:7" x14ac:dyDescent="0.3">
      <c r="G54"/>
    </row>
    <row r="55" spans="7:7" x14ac:dyDescent="0.3">
      <c r="G55"/>
    </row>
    <row r="56" spans="7:7" x14ac:dyDescent="0.3">
      <c r="G56"/>
    </row>
    <row r="57" spans="7:7" x14ac:dyDescent="0.3">
      <c r="G57"/>
    </row>
    <row r="58" spans="7:7" x14ac:dyDescent="0.3">
      <c r="G58"/>
    </row>
    <row r="59" spans="7:7" x14ac:dyDescent="0.3">
      <c r="G59"/>
    </row>
    <row r="60" spans="7:7" x14ac:dyDescent="0.3">
      <c r="G60"/>
    </row>
    <row r="61" spans="7:7" x14ac:dyDescent="0.3">
      <c r="G6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</vt:lpstr>
      <vt:lpstr>ds_salaries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Saini</dc:creator>
  <cp:lastModifiedBy>Arun saini</cp:lastModifiedBy>
  <dcterms:created xsi:type="dcterms:W3CDTF">2025-10-31T15:43:29Z</dcterms:created>
  <dcterms:modified xsi:type="dcterms:W3CDTF">2025-11-05T16:06:47Z</dcterms:modified>
</cp:coreProperties>
</file>